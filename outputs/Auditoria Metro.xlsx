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lha1" sheetId="1" r:id="rId5"/>
    <sheet state="visible" name="Tabela dinâmica 2" sheetId="2" r:id="rId6"/>
  </sheets>
  <definedNames/>
  <calcPr/>
  <pivotCaches>
    <pivotCache cacheId="0" r:id="rId7"/>
  </pivotCaches>
</workbook>
</file>

<file path=xl/sharedStrings.xml><?xml version="1.0" encoding="utf-8"?>
<sst xmlns="http://schemas.openxmlformats.org/spreadsheetml/2006/main" count="253" uniqueCount="200">
  <si>
    <t>Nome_OSM</t>
  </si>
  <si>
    <t>OSM_ID</t>
  </si>
  <si>
    <t>OSM_Type</t>
  </si>
  <si>
    <t>Status</t>
  </si>
  <si>
    <t>Code</t>
  </si>
  <si>
    <t>Lat_OSM</t>
  </si>
  <si>
    <t>Lon_OSM</t>
  </si>
  <si>
    <t>Nome_GTFS</t>
  </si>
  <si>
    <t>Distancia_GTFS</t>
  </si>
  <si>
    <t>Lat_GTFS</t>
  </si>
  <si>
    <t>Lon_GTFS</t>
  </si>
  <si>
    <t>Nome_WFS</t>
  </si>
  <si>
    <t>Distancia_WFS</t>
  </si>
  <si>
    <t>Lat_WFS</t>
  </si>
  <si>
    <t>Lon_WFS</t>
  </si>
  <si>
    <t>Nome_Overture</t>
  </si>
  <si>
    <t>Distancia_Overture</t>
  </si>
  <si>
    <t>Lat_Overture</t>
  </si>
  <si>
    <t>Lon_Overture</t>
  </si>
  <si>
    <t>Aeroporto</t>
  </si>
  <si>
    <t>6632410573</t>
  </si>
  <si>
    <t>node</t>
  </si>
  <si>
    <t>Conflito Local: Overture (30m)</t>
  </si>
  <si>
    <t>ConflitoLoc</t>
  </si>
  <si>
    <t>41.2371203</t>
  </si>
  <si>
    <t>-8.6695989</t>
  </si>
  <si>
    <t>13.87684514954213</t>
  </si>
  <si>
    <t>41.23708</t>
  </si>
  <si>
    <t>-8.669442</t>
  </si>
  <si>
    <t>12.265917224784266</t>
  </si>
  <si>
    <t>41.23701068862193</t>
  </si>
  <si>
    <t>-8.669616067732575</t>
  </si>
  <si>
    <t>Aeroporto [E]</t>
  </si>
  <si>
    <t>30.784555280499497</t>
  </si>
  <si>
    <t>41.237144</t>
  </si>
  <si>
    <t>-8.6699653</t>
  </si>
  <si>
    <t>Botica</t>
  </si>
  <si>
    <t>6632410574</t>
  </si>
  <si>
    <t>Conflito Local: WFS (128m)</t>
  </si>
  <si>
    <t>41.2375167</t>
  </si>
  <si>
    <t>-8.6652403</t>
  </si>
  <si>
    <t>2.7286043682888192</t>
  </si>
  <si>
    <t>41.23752</t>
  </si>
  <si>
    <t>-8.665208</t>
  </si>
  <si>
    <t>128.82915943343772</t>
  </si>
  <si>
    <t>41.238119113985306</t>
  </si>
  <si>
    <t>-8.663925430520427</t>
  </si>
  <si>
    <t>1.5893996526491747</t>
  </si>
  <si>
    <t>41.237531</t>
  </si>
  <si>
    <t>-8.66524</t>
  </si>
  <si>
    <t>Parque Maia</t>
  </si>
  <si>
    <t>6632462985</t>
  </si>
  <si>
    <t>Conflito Local: Overture (34m)</t>
  </si>
  <si>
    <t>41.2291295</t>
  </si>
  <si>
    <t>-8.6265827</t>
  </si>
  <si>
    <t>28.991214094222702</t>
  </si>
  <si>
    <t>41.22902</t>
  </si>
  <si>
    <t>-8.626897</t>
  </si>
  <si>
    <t>Parque da Maia</t>
  </si>
  <si>
    <t>19.456770817469454</t>
  </si>
  <si>
    <t>41.22913597439232</t>
  </si>
  <si>
    <t>-8.626814940748766</t>
  </si>
  <si>
    <t>34.79034716956684</t>
  </si>
  <si>
    <t>-8.626972</t>
  </si>
  <si>
    <t>Mandim</t>
  </si>
  <si>
    <t>6632462988</t>
  </si>
  <si>
    <t>Conflito Local: WFS (79m), Overture (113m)</t>
  </si>
  <si>
    <t>41.2535507</t>
  </si>
  <si>
    <t>-8.628371</t>
  </si>
  <si>
    <t>6.1969067277617365</t>
  </si>
  <si>
    <t>41.25358</t>
  </si>
  <si>
    <t>-8.628308</t>
  </si>
  <si>
    <t>79.25487975166894</t>
  </si>
  <si>
    <t>41.252899579789144</t>
  </si>
  <si>
    <t>-8.628757306266237</t>
  </si>
  <si>
    <t>Metro-Mandim</t>
  </si>
  <si>
    <t>113.94600884396571</t>
  </si>
  <si>
    <t>41.25253</t>
  </si>
  <si>
    <t>-8.6285</t>
  </si>
  <si>
    <t>Castêlo da Maia</t>
  </si>
  <si>
    <t>6632462989</t>
  </si>
  <si>
    <t>Conflito Local: Overture (515m)</t>
  </si>
  <si>
    <t>41.2627128</t>
  </si>
  <si>
    <t>-8.6170226</t>
  </si>
  <si>
    <t>5.144977795193363</t>
  </si>
  <si>
    <t>41.26275</t>
  </si>
  <si>
    <t>-8.616986</t>
  </si>
  <si>
    <t>Castelo da Maia</t>
  </si>
  <si>
    <t>12.725940952976167</t>
  </si>
  <si>
    <t>41.26280925738589</t>
  </si>
  <si>
    <t>-8.616940636329534</t>
  </si>
  <si>
    <t>515.5462366513516</t>
  </si>
  <si>
    <t>41.2633996</t>
  </si>
  <si>
    <t>-8.6231158</t>
  </si>
  <si>
    <t>Lidador</t>
  </si>
  <si>
    <t>686337108</t>
  </si>
  <si>
    <t>way</t>
  </si>
  <si>
    <t>Match Total (3 Fontes)</t>
  </si>
  <si>
    <t>Total</t>
  </si>
  <si>
    <t>41.2549321</t>
  </si>
  <si>
    <t>-8.6680491</t>
  </si>
  <si>
    <t>3.2758632491331707</t>
  </si>
  <si>
    <t>41.25495</t>
  </si>
  <si>
    <t>-8.668018</t>
  </si>
  <si>
    <t>28.97662017437175</t>
  </si>
  <si>
    <t>41.25515533471938</t>
  </si>
  <si>
    <t>-8.668228006848123</t>
  </si>
  <si>
    <t>Estação Lidador</t>
  </si>
  <si>
    <t>2.468625200876294</t>
  </si>
  <si>
    <t>41.254914</t>
  </si>
  <si>
    <t>-8.668032</t>
  </si>
  <si>
    <t>Pedras Rubras</t>
  </si>
  <si>
    <t>686337118</t>
  </si>
  <si>
    <t>Conflito Local: WFS (41m), Overture (94m)</t>
  </si>
  <si>
    <t>41.2463556</t>
  </si>
  <si>
    <t>-8.6618466</t>
  </si>
  <si>
    <t>14.346425927902303</t>
  </si>
  <si>
    <t>41.24623</t>
  </si>
  <si>
    <t>-8.661807</t>
  </si>
  <si>
    <t>41.518482773227056</t>
  </si>
  <si>
    <t>41.246698767751965</t>
  </si>
  <si>
    <t>-8.662042677020773</t>
  </si>
  <si>
    <t>94.6527670104563</t>
  </si>
  <si>
    <t>41.2471472</t>
  </si>
  <si>
    <t>-8.6622639</t>
  </si>
  <si>
    <t>Verdes</t>
  </si>
  <si>
    <t>686427778</t>
  </si>
  <si>
    <t>41.238424</t>
  </si>
  <si>
    <t>-8.6582339</t>
  </si>
  <si>
    <t>19.423838493102632</t>
  </si>
  <si>
    <t>41.23825</t>
  </si>
  <si>
    <t>-8.658212</t>
  </si>
  <si>
    <t>26.067853228831805</t>
  </si>
  <si>
    <t>41.23859656825833</t>
  </si>
  <si>
    <t>-8.658444821550933</t>
  </si>
  <si>
    <t>Verdes [B,E]</t>
  </si>
  <si>
    <t>20.76630362197655</t>
  </si>
  <si>
    <t>41.2382472</t>
  </si>
  <si>
    <t>-8.6583142</t>
  </si>
  <si>
    <t>Crestins</t>
  </si>
  <si>
    <t>686427796</t>
  </si>
  <si>
    <t>41.2330014</t>
  </si>
  <si>
    <t>-8.6566282</t>
  </si>
  <si>
    <t>3.0979241081561963</t>
  </si>
  <si>
    <t>41.23301</t>
  </si>
  <si>
    <t>-8.656593</t>
  </si>
  <si>
    <t>12.869081086716227</t>
  </si>
  <si>
    <t>41.23311151468116</t>
  </si>
  <si>
    <t>-8.656675771064355</t>
  </si>
  <si>
    <t>Crestins [B,E]</t>
  </si>
  <si>
    <t>5.549598302209584</t>
  </si>
  <si>
    <t>41.2329573</t>
  </si>
  <si>
    <t>-8.6565971</t>
  </si>
  <si>
    <t>ISMAI</t>
  </si>
  <si>
    <t>1312129732</t>
  </si>
  <si>
    <t>41.2688491</t>
  </si>
  <si>
    <t>-8.6154335</t>
  </si>
  <si>
    <t>7.806603772841149</t>
  </si>
  <si>
    <t>41.26891</t>
  </si>
  <si>
    <t>-8.615387</t>
  </si>
  <si>
    <t>29.843612808670766</t>
  </si>
  <si>
    <t>41.268599507125884</t>
  </si>
  <si>
    <t>-8.615565101190198</t>
  </si>
  <si>
    <t>Estação ISMAI</t>
  </si>
  <si>
    <t>1.4839244787348966</t>
  </si>
  <si>
    <t>41.268837</t>
  </si>
  <si>
    <t>-8.615441</t>
  </si>
  <si>
    <t>Fórum Maia</t>
  </si>
  <si>
    <t>1346512187</t>
  </si>
  <si>
    <t>Conflito Local: GTFS (33m)</t>
  </si>
  <si>
    <t>41.2343303</t>
  </si>
  <si>
    <t>-8.6239581</t>
  </si>
  <si>
    <t>33.353352102920354</t>
  </si>
  <si>
    <t>41.23463</t>
  </si>
  <si>
    <t>-8.623937</t>
  </si>
  <si>
    <t>Forum da Maia</t>
  </si>
  <si>
    <t>21.03877454555702</t>
  </si>
  <si>
    <t>41.23450369641363</t>
  </si>
  <si>
    <t>-8.62405896243063</t>
  </si>
  <si>
    <t>Fórum Maia [C]</t>
  </si>
  <si>
    <t>5.4092791195201535</t>
  </si>
  <si>
    <t>41.2342833</t>
  </si>
  <si>
    <t>-8.6239749</t>
  </si>
  <si>
    <t>Zona Industrial</t>
  </si>
  <si>
    <t>1347175587</t>
  </si>
  <si>
    <t>Match Parcial (Faltam Fontes)</t>
  </si>
  <si>
    <t>Parcial</t>
  </si>
  <si>
    <t>41.243865</t>
  </si>
  <si>
    <t>-8.6285398</t>
  </si>
  <si>
    <t>Zona Indústrial</t>
  </si>
  <si>
    <t>11.738113634044284</t>
  </si>
  <si>
    <t>41.24397</t>
  </si>
  <si>
    <t>-8.628555</t>
  </si>
  <si>
    <t>10.039105970684453</t>
  </si>
  <si>
    <t>41.24394471459202</t>
  </si>
  <si>
    <t>-8.6285962217751</t>
  </si>
  <si>
    <t>-</t>
  </si>
  <si>
    <t/>
  </si>
  <si>
    <t>COUNTA de Code</t>
  </si>
  <si>
    <t>Total geral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</si>
</sst>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S13" sheet="Folha1"/>
  </cacheSource>
  <cacheFields>
    <cacheField name="Nome_OSM" numFmtId="0">
      <sharedItems>
        <s v="Aeroporto"/>
        <s v="Botica"/>
        <s v="Parque Maia"/>
        <s v="Mandim"/>
        <s v="Castêlo da Maia"/>
        <s v="Lidador"/>
        <s v="Pedras Rubras"/>
        <s v="Verdes"/>
        <s v="Crestins"/>
        <s v="ISMAI"/>
        <s v="Fórum Maia"/>
        <s v="Zona Industrial"/>
      </sharedItems>
    </cacheField>
    <cacheField name="OSM_ID" numFmtId="0">
      <sharedItems>
        <s v="6632410573"/>
        <s v="6632410574"/>
        <s v="6632462985"/>
        <s v="6632462988"/>
        <s v="6632462989"/>
        <s v="686337108"/>
        <s v="686337118"/>
        <s v="686427778"/>
        <s v="686427796"/>
        <s v="1312129732"/>
        <s v="1346512187"/>
        <s v="1347175587"/>
      </sharedItems>
    </cacheField>
    <cacheField name="OSM_Type" numFmtId="0">
      <sharedItems>
        <s v="node"/>
        <s v="way"/>
      </sharedItems>
    </cacheField>
    <cacheField name="Status" numFmtId="0">
      <sharedItems>
        <s v="Conflito Local: Overture (30m)"/>
        <s v="Conflito Local: WFS (128m)"/>
        <s v="Conflito Local: Overture (34m)"/>
        <s v="Conflito Local: WFS (79m), Overture (113m)"/>
        <s v="Conflito Local: Overture (515m)"/>
        <s v="Match Total (3 Fontes)"/>
        <s v="Conflito Local: WFS (41m), Overture (94m)"/>
        <s v="Conflito Local: GTFS (33m)"/>
        <s v="Match Parcial (Faltam Fontes)"/>
      </sharedItems>
    </cacheField>
    <cacheField name="Code" numFmtId="0">
      <sharedItems>
        <s v="ConflitoLoc"/>
        <s v="Total"/>
        <s v="Parcial"/>
      </sharedItems>
    </cacheField>
    <cacheField name="Lat_OSM" numFmtId="0">
      <sharedItems>
        <s v="41.2371203"/>
        <s v="41.2375167"/>
        <s v="41.2291295"/>
        <s v="41.2535507"/>
        <s v="41.2627128"/>
        <s v="41.2549321"/>
        <s v="41.2463556"/>
        <s v="41.238424"/>
        <s v="41.2330014"/>
        <s v="41.2688491"/>
        <s v="41.2343303"/>
        <s v="41.243865"/>
      </sharedItems>
    </cacheField>
    <cacheField name="Lon_OSM" numFmtId="0">
      <sharedItems>
        <s v="-8.6695989"/>
        <s v="-8.6652403"/>
        <s v="-8.6265827"/>
        <s v="-8.628371"/>
        <s v="-8.6170226"/>
        <s v="-8.6680491"/>
        <s v="-8.6618466"/>
        <s v="-8.6582339"/>
        <s v="-8.6566282"/>
        <s v="-8.6154335"/>
        <s v="-8.6239581"/>
        <s v="-8.6285398"/>
      </sharedItems>
    </cacheField>
    <cacheField name="Nome_GTFS" numFmtId="0">
      <sharedItems>
        <s v="Aeroporto"/>
        <s v="Botica"/>
        <s v="Parque Maia"/>
        <s v="Mandim"/>
        <s v="Castêlo da Maia"/>
        <s v="Lidador"/>
        <s v="Pedras Rubras"/>
        <s v="Verdes"/>
        <s v="Crestins"/>
        <s v="ISMAI"/>
        <s v="Fórum Maia"/>
        <s v="Zona Indústrial"/>
      </sharedItems>
    </cacheField>
    <cacheField name="Distancia_GTFS" numFmtId="0">
      <sharedItems>
        <s v="13.87684514954213"/>
        <s v="2.7286043682888192"/>
        <s v="28.991214094222702"/>
        <s v="6.1969067277617365"/>
        <s v="5.144977795193363"/>
        <s v="3.2758632491331707"/>
        <s v="14.346425927902303"/>
        <s v="19.423838493102632"/>
        <s v="3.0979241081561963"/>
        <s v="7.806603772841149"/>
        <s v="33.353352102920354"/>
        <s v="11.738113634044284"/>
      </sharedItems>
    </cacheField>
    <cacheField name="Lat_GTFS" numFmtId="0">
      <sharedItems>
        <s v="41.23708"/>
        <s v="41.23752"/>
        <s v="41.22902"/>
        <s v="41.25358"/>
        <s v="41.26275"/>
        <s v="41.25495"/>
        <s v="41.24623"/>
        <s v="41.23825"/>
        <s v="41.23301"/>
        <s v="41.26891"/>
        <s v="41.23463"/>
        <s v="41.24397"/>
      </sharedItems>
    </cacheField>
    <cacheField name="Lon_GTFS" numFmtId="0">
      <sharedItems>
        <s v="-8.669442"/>
        <s v="-8.665208"/>
        <s v="-8.626897"/>
        <s v="-8.628308"/>
        <s v="-8.616986"/>
        <s v="-8.668018"/>
        <s v="-8.661807"/>
        <s v="-8.658212"/>
        <s v="-8.656593"/>
        <s v="-8.615387"/>
        <s v="-8.623937"/>
        <s v="-8.628555"/>
      </sharedItems>
    </cacheField>
    <cacheField name="Nome_WFS" numFmtId="0">
      <sharedItems>
        <s v="Aeroporto"/>
        <s v="Botica"/>
        <s v="Parque da Maia"/>
        <s v="Mandim"/>
        <s v="Castelo da Maia"/>
        <s v="Lidador"/>
        <s v="Pedras Rubras"/>
        <s v="Verdes"/>
        <s v="Crestins"/>
        <s v="ISMAI"/>
        <s v="Forum da Maia"/>
        <s v="Zona Industrial"/>
      </sharedItems>
    </cacheField>
    <cacheField name="Distancia_WFS" numFmtId="0">
      <sharedItems>
        <s v="12.265917224784266"/>
        <s v="128.82915943343772"/>
        <s v="19.456770817469454"/>
        <s v="79.25487975166894"/>
        <s v="12.725940952976167"/>
        <s v="28.97662017437175"/>
        <s v="41.518482773227056"/>
        <s v="26.067853228831805"/>
        <s v="12.869081086716227"/>
        <s v="29.843612808670766"/>
        <s v="21.03877454555702"/>
        <s v="10.039105970684453"/>
      </sharedItems>
    </cacheField>
    <cacheField name="Lat_WFS" numFmtId="0">
      <sharedItems>
        <s v="41.23701068862193"/>
        <s v="41.238119113985306"/>
        <s v="41.22913597439232"/>
        <s v="41.252899579789144"/>
        <s v="41.26280925738589"/>
        <s v="41.25515533471938"/>
        <s v="41.246698767751965"/>
        <s v="41.23859656825833"/>
        <s v="41.23311151468116"/>
        <s v="41.268599507125884"/>
        <s v="41.23450369641363"/>
        <s v="41.24394471459202"/>
      </sharedItems>
    </cacheField>
    <cacheField name="Lon_WFS" numFmtId="0">
      <sharedItems>
        <s v="-8.669616067732575"/>
        <s v="-8.663925430520427"/>
        <s v="-8.626814940748766"/>
        <s v="-8.628757306266237"/>
        <s v="-8.616940636329534"/>
        <s v="-8.668228006848123"/>
        <s v="-8.662042677020773"/>
        <s v="-8.658444821550933"/>
        <s v="-8.656675771064355"/>
        <s v="-8.615565101190198"/>
        <s v="-8.62405896243063"/>
        <s v="-8.6285962217751"/>
      </sharedItems>
    </cacheField>
    <cacheField name="Nome_Overture" numFmtId="0">
      <sharedItems>
        <s v="Aeroporto [E]"/>
        <s v="Botica"/>
        <s v="Parque Maia"/>
        <s v="Metro-Mandim"/>
        <s v="Castêlo da Maia"/>
        <s v="Estação Lidador"/>
        <s v="Pedras Rubras"/>
        <s v="Verdes [B,E]"/>
        <s v="Crestins [B,E]"/>
        <s v="Estação ISMAI"/>
        <s v="Fórum Maia [C]"/>
        <s v="-"/>
      </sharedItems>
    </cacheField>
    <cacheField name="Distancia_Overture" numFmtId="0">
      <sharedItems>
        <s v="30.784555280499497"/>
        <s v="1.5893996526491747"/>
        <s v="34.79034716956684"/>
        <s v="113.94600884396571"/>
        <s v="515.5462366513516"/>
        <s v="2.468625200876294"/>
        <s v="94.6527670104563"/>
        <s v="20.76630362197655"/>
        <s v="5.549598302209584"/>
        <s v="1.4839244787348966"/>
        <s v="5.4092791195201535"/>
        <s v=""/>
      </sharedItems>
    </cacheField>
    <cacheField name="Lat_Overture" numFmtId="0">
      <sharedItems>
        <s v="41.237144"/>
        <s v="41.237531"/>
        <s v="41.22902"/>
        <s v="41.25253"/>
        <s v="41.2633996"/>
        <s v="41.254914"/>
        <s v="41.2471472"/>
        <s v="41.2382472"/>
        <s v="41.2329573"/>
        <s v="41.268837"/>
        <s v="41.2342833"/>
        <s v="-"/>
      </sharedItems>
    </cacheField>
    <cacheField name="Lon_Overture" numFmtId="0">
      <sharedItems>
        <s v="-8.6699653"/>
        <s v="-8.66524"/>
        <s v="-8.626972"/>
        <s v="-8.6285"/>
        <s v="-8.6231158"/>
        <s v="-8.668032"/>
        <s v="-8.6622639"/>
        <s v="-8.6583142"/>
        <s v="-8.6565971"/>
        <s v="-8.615441"/>
        <s v="-8.6239749"/>
        <s v="-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 2" cacheId="0" dataCaption="" compact="0" compactData="0">
  <location ref="A1:B5" firstHeaderRow="0" firstDataRow="1" firstDataCol="0"/>
  <pivotFields>
    <pivotField name="Nome_OS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OSM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OSM_Type" compact="0" outline="0" multipleItemSelectionAllowed="1" showAll="0">
      <items>
        <item x="0"/>
        <item x="1"/>
        <item t="default"/>
      </items>
    </pivotField>
    <pivotField name="Statu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Code" axis="axisRow" dataField="1" compact="0" outline="0" multipleItemSelectionAllowed="1" showAll="0" sortType="ascending">
      <items>
        <item x="0"/>
        <item x="2"/>
        <item x="1"/>
        <item t="default"/>
      </items>
    </pivotField>
    <pivotField name="Lat_OS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Lon_OS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Nome_GTF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Distancia_GTF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Lat_GTF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Lon_GTF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Nome_WF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Distancia_WF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Lat_WF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Lon_WF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Nome_Overtu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Distancia_Overtu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Lat_Overtu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Lon_Overtu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>
    <field x="4"/>
  </rowFields>
  <dataFields>
    <dataField name="COUNTA of Code" fld="4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1" t="s">
        <v>19</v>
      </c>
      <c r="B2" s="2" t="s">
        <v>20</v>
      </c>
      <c r="C2" s="1" t="s">
        <v>21</v>
      </c>
      <c r="D2" s="1" t="s">
        <v>22</v>
      </c>
      <c r="E2" s="1" t="s">
        <v>23</v>
      </c>
      <c r="F2" s="1" t="s">
        <v>24</v>
      </c>
      <c r="G2" s="1" t="s">
        <v>25</v>
      </c>
      <c r="H2" s="1" t="s">
        <v>19</v>
      </c>
      <c r="I2" s="1" t="s">
        <v>26</v>
      </c>
      <c r="J2" s="1" t="s">
        <v>27</v>
      </c>
      <c r="K2" s="1" t="s">
        <v>28</v>
      </c>
      <c r="L2" s="1" t="s">
        <v>19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  <c r="R2" s="1" t="s">
        <v>34</v>
      </c>
      <c r="S2" s="1" t="s">
        <v>35</v>
      </c>
    </row>
    <row r="3">
      <c r="A3" s="1" t="s">
        <v>36</v>
      </c>
      <c r="B3" s="2" t="s">
        <v>37</v>
      </c>
      <c r="C3" s="1" t="s">
        <v>21</v>
      </c>
      <c r="D3" s="1" t="s">
        <v>38</v>
      </c>
      <c r="E3" s="1" t="s">
        <v>23</v>
      </c>
      <c r="F3" s="1" t="s">
        <v>39</v>
      </c>
      <c r="G3" s="1" t="s">
        <v>40</v>
      </c>
      <c r="H3" s="1" t="s">
        <v>36</v>
      </c>
      <c r="I3" s="1" t="s">
        <v>41</v>
      </c>
      <c r="J3" s="1" t="s">
        <v>42</v>
      </c>
      <c r="K3" s="1" t="s">
        <v>43</v>
      </c>
      <c r="L3" s="1" t="s">
        <v>36</v>
      </c>
      <c r="M3" s="1" t="s">
        <v>44</v>
      </c>
      <c r="N3" s="1" t="s">
        <v>45</v>
      </c>
      <c r="O3" s="1" t="s">
        <v>46</v>
      </c>
      <c r="P3" s="1" t="s">
        <v>36</v>
      </c>
      <c r="Q3" s="1" t="s">
        <v>47</v>
      </c>
      <c r="R3" s="1" t="s">
        <v>48</v>
      </c>
      <c r="S3" s="1" t="s">
        <v>49</v>
      </c>
    </row>
    <row r="4">
      <c r="A4" s="1" t="s">
        <v>50</v>
      </c>
      <c r="B4" s="2" t="s">
        <v>51</v>
      </c>
      <c r="C4" s="1" t="s">
        <v>21</v>
      </c>
      <c r="D4" s="1" t="s">
        <v>52</v>
      </c>
      <c r="E4" s="1" t="s">
        <v>23</v>
      </c>
      <c r="F4" s="1" t="s">
        <v>53</v>
      </c>
      <c r="G4" s="1" t="s">
        <v>54</v>
      </c>
      <c r="H4" s="1" t="s">
        <v>50</v>
      </c>
      <c r="I4" s="1" t="s">
        <v>55</v>
      </c>
      <c r="J4" s="1" t="s">
        <v>56</v>
      </c>
      <c r="K4" s="1" t="s">
        <v>57</v>
      </c>
      <c r="L4" s="1" t="s">
        <v>58</v>
      </c>
      <c r="M4" s="1" t="s">
        <v>59</v>
      </c>
      <c r="N4" s="1" t="s">
        <v>60</v>
      </c>
      <c r="O4" s="1" t="s">
        <v>61</v>
      </c>
      <c r="P4" s="1" t="s">
        <v>50</v>
      </c>
      <c r="Q4" s="1" t="s">
        <v>62</v>
      </c>
      <c r="R4" s="1" t="s">
        <v>56</v>
      </c>
      <c r="S4" s="1" t="s">
        <v>63</v>
      </c>
    </row>
    <row r="5">
      <c r="A5" s="1" t="s">
        <v>64</v>
      </c>
      <c r="B5" s="2" t="s">
        <v>65</v>
      </c>
      <c r="C5" s="1" t="s">
        <v>21</v>
      </c>
      <c r="D5" s="1" t="s">
        <v>66</v>
      </c>
      <c r="E5" s="1" t="s">
        <v>23</v>
      </c>
      <c r="F5" s="1" t="s">
        <v>67</v>
      </c>
      <c r="G5" s="1" t="s">
        <v>68</v>
      </c>
      <c r="H5" s="1" t="s">
        <v>64</v>
      </c>
      <c r="I5" s="1" t="s">
        <v>69</v>
      </c>
      <c r="J5" s="1" t="s">
        <v>70</v>
      </c>
      <c r="K5" s="1" t="s">
        <v>71</v>
      </c>
      <c r="L5" s="1" t="s">
        <v>64</v>
      </c>
      <c r="M5" s="1" t="s">
        <v>72</v>
      </c>
      <c r="N5" s="1" t="s">
        <v>73</v>
      </c>
      <c r="O5" s="1" t="s">
        <v>74</v>
      </c>
      <c r="P5" s="1" t="s">
        <v>75</v>
      </c>
      <c r="Q5" s="1" t="s">
        <v>76</v>
      </c>
      <c r="R5" s="1" t="s">
        <v>77</v>
      </c>
      <c r="S5" s="1" t="s">
        <v>78</v>
      </c>
    </row>
    <row r="6">
      <c r="A6" s="1" t="s">
        <v>79</v>
      </c>
      <c r="B6" s="2" t="s">
        <v>80</v>
      </c>
      <c r="C6" s="1" t="s">
        <v>21</v>
      </c>
      <c r="D6" s="1" t="s">
        <v>81</v>
      </c>
      <c r="E6" s="1" t="s">
        <v>23</v>
      </c>
      <c r="F6" s="1" t="s">
        <v>82</v>
      </c>
      <c r="G6" s="1" t="s">
        <v>83</v>
      </c>
      <c r="H6" s="1" t="s">
        <v>79</v>
      </c>
      <c r="I6" s="1" t="s">
        <v>84</v>
      </c>
      <c r="J6" s="1" t="s">
        <v>85</v>
      </c>
      <c r="K6" s="1" t="s">
        <v>86</v>
      </c>
      <c r="L6" s="1" t="s">
        <v>87</v>
      </c>
      <c r="M6" s="1" t="s">
        <v>88</v>
      </c>
      <c r="N6" s="1" t="s">
        <v>89</v>
      </c>
      <c r="O6" s="1" t="s">
        <v>90</v>
      </c>
      <c r="P6" s="1" t="s">
        <v>79</v>
      </c>
      <c r="Q6" s="1" t="s">
        <v>91</v>
      </c>
      <c r="R6" s="1" t="s">
        <v>92</v>
      </c>
      <c r="S6" s="1" t="s">
        <v>93</v>
      </c>
    </row>
    <row r="7">
      <c r="A7" s="1" t="s">
        <v>94</v>
      </c>
      <c r="B7" s="2" t="s">
        <v>95</v>
      </c>
      <c r="C7" s="1" t="s">
        <v>96</v>
      </c>
      <c r="D7" s="1" t="s">
        <v>97</v>
      </c>
      <c r="E7" s="1" t="s">
        <v>98</v>
      </c>
      <c r="F7" s="1" t="s">
        <v>99</v>
      </c>
      <c r="G7" s="1" t="s">
        <v>100</v>
      </c>
      <c r="H7" s="1" t="s">
        <v>94</v>
      </c>
      <c r="I7" s="1" t="s">
        <v>101</v>
      </c>
      <c r="J7" s="1" t="s">
        <v>102</v>
      </c>
      <c r="K7" s="1" t="s">
        <v>103</v>
      </c>
      <c r="L7" s="1" t="s">
        <v>94</v>
      </c>
      <c r="M7" s="1" t="s">
        <v>104</v>
      </c>
      <c r="N7" s="1" t="s">
        <v>105</v>
      </c>
      <c r="O7" s="1" t="s">
        <v>106</v>
      </c>
      <c r="P7" s="1" t="s">
        <v>107</v>
      </c>
      <c r="Q7" s="1" t="s">
        <v>108</v>
      </c>
      <c r="R7" s="1" t="s">
        <v>109</v>
      </c>
      <c r="S7" s="1" t="s">
        <v>110</v>
      </c>
    </row>
    <row r="8">
      <c r="A8" s="1" t="s">
        <v>111</v>
      </c>
      <c r="B8" s="2" t="s">
        <v>112</v>
      </c>
      <c r="C8" s="1" t="s">
        <v>96</v>
      </c>
      <c r="D8" s="1" t="s">
        <v>113</v>
      </c>
      <c r="E8" s="1" t="s">
        <v>23</v>
      </c>
      <c r="F8" s="1" t="s">
        <v>114</v>
      </c>
      <c r="G8" s="1" t="s">
        <v>115</v>
      </c>
      <c r="H8" s="1" t="s">
        <v>111</v>
      </c>
      <c r="I8" s="1" t="s">
        <v>116</v>
      </c>
      <c r="J8" s="1" t="s">
        <v>117</v>
      </c>
      <c r="K8" s="1" t="s">
        <v>118</v>
      </c>
      <c r="L8" s="1" t="s">
        <v>111</v>
      </c>
      <c r="M8" s="1" t="s">
        <v>119</v>
      </c>
      <c r="N8" s="1" t="s">
        <v>120</v>
      </c>
      <c r="O8" s="1" t="s">
        <v>121</v>
      </c>
      <c r="P8" s="1" t="s">
        <v>111</v>
      </c>
      <c r="Q8" s="1" t="s">
        <v>122</v>
      </c>
      <c r="R8" s="1" t="s">
        <v>123</v>
      </c>
      <c r="S8" s="1" t="s">
        <v>124</v>
      </c>
    </row>
    <row r="9">
      <c r="A9" s="1" t="s">
        <v>125</v>
      </c>
      <c r="B9" s="2" t="s">
        <v>126</v>
      </c>
      <c r="C9" s="1" t="s">
        <v>96</v>
      </c>
      <c r="D9" s="1" t="s">
        <v>97</v>
      </c>
      <c r="E9" s="1" t="s">
        <v>98</v>
      </c>
      <c r="F9" s="1" t="s">
        <v>127</v>
      </c>
      <c r="G9" s="1" t="s">
        <v>128</v>
      </c>
      <c r="H9" s="1" t="s">
        <v>125</v>
      </c>
      <c r="I9" s="1" t="s">
        <v>129</v>
      </c>
      <c r="J9" s="1" t="s">
        <v>130</v>
      </c>
      <c r="K9" s="1" t="s">
        <v>131</v>
      </c>
      <c r="L9" s="1" t="s">
        <v>125</v>
      </c>
      <c r="M9" s="1" t="s">
        <v>132</v>
      </c>
      <c r="N9" s="1" t="s">
        <v>133</v>
      </c>
      <c r="O9" s="1" t="s">
        <v>134</v>
      </c>
      <c r="P9" s="1" t="s">
        <v>135</v>
      </c>
      <c r="Q9" s="1" t="s">
        <v>136</v>
      </c>
      <c r="R9" s="1" t="s">
        <v>137</v>
      </c>
      <c r="S9" s="1" t="s">
        <v>138</v>
      </c>
    </row>
    <row r="10">
      <c r="A10" s="1" t="s">
        <v>139</v>
      </c>
      <c r="B10" s="2" t="s">
        <v>140</v>
      </c>
      <c r="C10" s="1" t="s">
        <v>96</v>
      </c>
      <c r="D10" s="1" t="s">
        <v>97</v>
      </c>
      <c r="E10" s="1" t="s">
        <v>98</v>
      </c>
      <c r="F10" s="1" t="s">
        <v>141</v>
      </c>
      <c r="G10" s="1" t="s">
        <v>142</v>
      </c>
      <c r="H10" s="1" t="s">
        <v>139</v>
      </c>
      <c r="I10" s="1" t="s">
        <v>143</v>
      </c>
      <c r="J10" s="1" t="s">
        <v>144</v>
      </c>
      <c r="K10" s="1" t="s">
        <v>145</v>
      </c>
      <c r="L10" s="1" t="s">
        <v>139</v>
      </c>
      <c r="M10" s="1" t="s">
        <v>146</v>
      </c>
      <c r="N10" s="1" t="s">
        <v>147</v>
      </c>
      <c r="O10" s="1" t="s">
        <v>148</v>
      </c>
      <c r="P10" s="1" t="s">
        <v>149</v>
      </c>
      <c r="Q10" s="1" t="s">
        <v>150</v>
      </c>
      <c r="R10" s="1" t="s">
        <v>151</v>
      </c>
      <c r="S10" s="1" t="s">
        <v>152</v>
      </c>
    </row>
    <row r="11">
      <c r="A11" s="1" t="s">
        <v>153</v>
      </c>
      <c r="B11" s="2" t="s">
        <v>154</v>
      </c>
      <c r="C11" s="1" t="s">
        <v>96</v>
      </c>
      <c r="D11" s="1" t="s">
        <v>97</v>
      </c>
      <c r="E11" s="1" t="s">
        <v>98</v>
      </c>
      <c r="F11" s="1" t="s">
        <v>155</v>
      </c>
      <c r="G11" s="1" t="s">
        <v>156</v>
      </c>
      <c r="H11" s="1" t="s">
        <v>153</v>
      </c>
      <c r="I11" s="1" t="s">
        <v>157</v>
      </c>
      <c r="J11" s="1" t="s">
        <v>158</v>
      </c>
      <c r="K11" s="1" t="s">
        <v>159</v>
      </c>
      <c r="L11" s="1" t="s">
        <v>153</v>
      </c>
      <c r="M11" s="1" t="s">
        <v>160</v>
      </c>
      <c r="N11" s="1" t="s">
        <v>161</v>
      </c>
      <c r="O11" s="1" t="s">
        <v>162</v>
      </c>
      <c r="P11" s="1" t="s">
        <v>163</v>
      </c>
      <c r="Q11" s="1" t="s">
        <v>164</v>
      </c>
      <c r="R11" s="1" t="s">
        <v>165</v>
      </c>
      <c r="S11" s="1" t="s">
        <v>166</v>
      </c>
    </row>
    <row r="12">
      <c r="A12" s="1" t="s">
        <v>167</v>
      </c>
      <c r="B12" s="2" t="s">
        <v>168</v>
      </c>
      <c r="C12" s="1" t="s">
        <v>96</v>
      </c>
      <c r="D12" s="1" t="s">
        <v>169</v>
      </c>
      <c r="E12" s="1" t="s">
        <v>23</v>
      </c>
      <c r="F12" s="1" t="s">
        <v>170</v>
      </c>
      <c r="G12" s="1" t="s">
        <v>171</v>
      </c>
      <c r="H12" s="1" t="s">
        <v>167</v>
      </c>
      <c r="I12" s="1" t="s">
        <v>172</v>
      </c>
      <c r="J12" s="1" t="s">
        <v>173</v>
      </c>
      <c r="K12" s="1" t="s">
        <v>174</v>
      </c>
      <c r="L12" s="1" t="s">
        <v>175</v>
      </c>
      <c r="M12" s="1" t="s">
        <v>176</v>
      </c>
      <c r="N12" s="1" t="s">
        <v>177</v>
      </c>
      <c r="O12" s="1" t="s">
        <v>178</v>
      </c>
      <c r="P12" s="1" t="s">
        <v>179</v>
      </c>
      <c r="Q12" s="1" t="s">
        <v>180</v>
      </c>
      <c r="R12" s="1" t="s">
        <v>181</v>
      </c>
      <c r="S12" s="1" t="s">
        <v>182</v>
      </c>
    </row>
    <row r="13">
      <c r="A13" s="1" t="s">
        <v>183</v>
      </c>
      <c r="B13" s="2" t="s">
        <v>184</v>
      </c>
      <c r="C13" s="1" t="s">
        <v>96</v>
      </c>
      <c r="D13" s="1" t="s">
        <v>185</v>
      </c>
      <c r="E13" s="1" t="s">
        <v>186</v>
      </c>
      <c r="F13" s="1" t="s">
        <v>187</v>
      </c>
      <c r="G13" s="1" t="s">
        <v>188</v>
      </c>
      <c r="H13" s="1" t="s">
        <v>189</v>
      </c>
      <c r="I13" s="1" t="s">
        <v>190</v>
      </c>
      <c r="J13" s="1" t="s">
        <v>191</v>
      </c>
      <c r="K13" s="1" t="s">
        <v>192</v>
      </c>
      <c r="L13" s="1" t="s">
        <v>183</v>
      </c>
      <c r="M13" s="1" t="s">
        <v>193</v>
      </c>
      <c r="N13" s="1" t="s">
        <v>194</v>
      </c>
      <c r="O13" s="1" t="s">
        <v>195</v>
      </c>
      <c r="P13" s="1" t="s">
        <v>196</v>
      </c>
      <c r="Q13" s="1" t="s">
        <v>197</v>
      </c>
      <c r="R13" s="1" t="s">
        <v>196</v>
      </c>
      <c r="S13" s="1" t="s">
        <v>196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0.63"/>
  </cols>
  <sheetData>
    <row r="1"/>
    <row r="2"/>
    <row r="3"/>
    <row r="4"/>
    <row r="5"/>
  </sheetData>
  <drawing r:id="rId2"/>
</worksheet>
</file>